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b6c83406b025a3b/Documents/remote/media/"/>
    </mc:Choice>
  </mc:AlternateContent>
  <xr:revisionPtr revIDLastSave="1" documentId="11_8F85F6B36C3A75ABCBBAD5EE73D1ECE1A5508A8A" xr6:coauthVersionLast="47" xr6:coauthVersionMax="47" xr10:uidLastSave="{D8C4FBAA-9EDF-40B1-8271-23964B87548F}"/>
  <bookViews>
    <workbookView xWindow="-108" yWindow="-108" windowWidth="23256" windowHeight="12456" activeTab="1" xr2:uid="{00000000-000D-0000-FFFF-FFFF00000000}"/>
  </bookViews>
  <sheets>
    <sheet name="Nakladnoylar" sheetId="1" r:id="rId1"/>
    <sheet name="Tovarlar" sheetId="2" r:id="rId2"/>
  </sheets>
  <definedNames>
    <definedName name="_xlnm._FilterDatabase" localSheetId="1" hidden="1">Tovarlar!$A$1:$G$27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2" l="1"/>
  <c r="J26" i="2"/>
  <c r="J25" i="2"/>
  <c r="J24" i="2"/>
  <c r="J23" i="2"/>
  <c r="J16" i="2"/>
  <c r="J15" i="2"/>
  <c r="J13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<sst xmlns="http://schemas.openxmlformats.org/spreadsheetml/2006/main" count="145" uniqueCount="62">
  <si>
    <t>№ Накладной</t>
  </si>
  <si>
    <t>Сана</t>
  </si>
  <si>
    <t>Заказчик</t>
  </si>
  <si>
    <t>Автомобиль</t>
  </si>
  <si>
    <t>Курс</t>
  </si>
  <si>
    <t>Товар турлари</t>
  </si>
  <si>
    <t>Жами (дона)</t>
  </si>
  <si>
    <t>Расм</t>
  </si>
  <si>
    <t>2026-09-08</t>
  </si>
  <si>
    <t>Пром</t>
  </si>
  <si>
    <t>01 880 LYA</t>
  </si>
  <si>
    <t>2026-09-10</t>
  </si>
  <si>
    <t>01 892 UKA</t>
  </si>
  <si>
    <t>2026-09-14</t>
  </si>
  <si>
    <t>01 805 MKA</t>
  </si>
  <si>
    <t>2026-09-17</t>
  </si>
  <si>
    <t>01 763 JJA</t>
  </si>
  <si>
    <t>2026-09-21</t>
  </si>
  <si>
    <t>01 521 ENA</t>
  </si>
  <si>
    <t>№</t>
  </si>
  <si>
    <t>Наименование товара</t>
  </si>
  <si>
    <t>Ед.изм.</t>
  </si>
  <si>
    <t>Количество</t>
  </si>
  <si>
    <t>Примечание</t>
  </si>
  <si>
    <t>консол подставка</t>
  </si>
  <si>
    <t>шт</t>
  </si>
  <si>
    <t>гп</t>
  </si>
  <si>
    <t>A 0819 Профиль Алюмин 1500мм</t>
  </si>
  <si>
    <t>A 0820 Профиль Алюмин 1500мм</t>
  </si>
  <si>
    <t>Резка/покраска</t>
  </si>
  <si>
    <t>A 0821 Профиль Алюмин 1500мм</t>
  </si>
  <si>
    <t>A 0822 Профиль Алюмин 1500мм</t>
  </si>
  <si>
    <t>A 0823 Профиль Алюмин 1500мм</t>
  </si>
  <si>
    <t>Баковой крышка консол</t>
  </si>
  <si>
    <t>Кронштейн клапан для медицинской консоли</t>
  </si>
  <si>
    <t>Резка</t>
  </si>
  <si>
    <t>Стабилизатор ношка</t>
  </si>
  <si>
    <t>Боковая крашенная алюминевая крышка SWP (наружний)</t>
  </si>
  <si>
    <t>Окрашенный Профиль SW 2508 Бел 780мм</t>
  </si>
  <si>
    <t>Боковая крашенная алюминиевая крышка SWP (наружний)</t>
  </si>
  <si>
    <t>Окрашенный Профиль SWP 2508 Бел 1200мм</t>
  </si>
  <si>
    <t>Окрашенный Профиль SWP 2508 Бел 780мм</t>
  </si>
  <si>
    <t>стабилизатор корпус 15кв корпус</t>
  </si>
  <si>
    <t>ГП</t>
  </si>
  <si>
    <t>стабилизатор корпус 20кв корпус</t>
  </si>
  <si>
    <t>стабилизатор корпус 30кв корпус</t>
  </si>
  <si>
    <t>стабилизатор корпус 15кв</t>
  </si>
  <si>
    <t>взврат (Хитой гп)</t>
  </si>
  <si>
    <t>стабилизатор корпус 20кв</t>
  </si>
  <si>
    <t>стабилизатор корпус 30кв</t>
  </si>
  <si>
    <t>Подвесной СС-1 4000мм белый корпус</t>
  </si>
  <si>
    <t>Подвесной СС-1 3000мм белый корпус</t>
  </si>
  <si>
    <t>Подвесной СС-1 2000мм белый корпус</t>
  </si>
  <si>
    <t>SWP вагоний корпус (внутрений) 780 мм</t>
  </si>
  <si>
    <t>SWP баковой крышка внутрений окрашенний</t>
  </si>
  <si>
    <t>SPSKL010005</t>
  </si>
  <si>
    <t>SANL010001</t>
  </si>
  <si>
    <t>SKPL010007MLK</t>
  </si>
  <si>
    <t>SKPL010008MLK</t>
  </si>
  <si>
    <t>SKPL010004BEL</t>
  </si>
  <si>
    <t>SKPL010001NEK</t>
  </si>
  <si>
    <t>R60000402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</si>
</sst>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42875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1428750" cy="190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428750" cy="190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142875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142875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3" width="12" customWidth="1"/>
    <col min="4" max="4" width="14" customWidth="1"/>
    <col min="5" max="5" width="10" customWidth="1"/>
    <col min="6" max="6" width="13" customWidth="1"/>
    <col min="7" max="7" width="12" customWidth="1"/>
    <col min="8" max="8" width="22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0" customHeight="1" x14ac:dyDescent="0.3">
      <c r="A2" s="2">
        <v>7</v>
      </c>
      <c r="B2" s="2" t="s">
        <v>8</v>
      </c>
      <c r="C2" s="2" t="s">
        <v>9</v>
      </c>
      <c r="D2" s="2" t="s">
        <v>10</v>
      </c>
      <c r="E2" s="2">
        <v>12650</v>
      </c>
      <c r="F2" s="2">
        <v>10</v>
      </c>
      <c r="G2" s="2">
        <v>646</v>
      </c>
      <c r="H2" s="3"/>
    </row>
    <row r="3" spans="1:8" ht="150" customHeight="1" x14ac:dyDescent="0.3">
      <c r="A3" s="2">
        <v>9</v>
      </c>
      <c r="B3" s="2" t="s">
        <v>11</v>
      </c>
      <c r="C3" s="2" t="s">
        <v>9</v>
      </c>
      <c r="D3" s="2" t="s">
        <v>12</v>
      </c>
      <c r="E3" s="2">
        <v>12650</v>
      </c>
      <c r="F3" s="2">
        <v>2</v>
      </c>
      <c r="G3" s="2">
        <v>206</v>
      </c>
      <c r="H3" s="3"/>
    </row>
    <row r="4" spans="1:8" ht="150" customHeight="1" x14ac:dyDescent="0.3">
      <c r="A4" s="2">
        <v>13</v>
      </c>
      <c r="B4" s="2" t="s">
        <v>13</v>
      </c>
      <c r="C4" s="2" t="s">
        <v>9</v>
      </c>
      <c r="D4" s="2" t="s">
        <v>14</v>
      </c>
      <c r="E4" s="2">
        <v>12650</v>
      </c>
      <c r="F4" s="2">
        <v>3</v>
      </c>
      <c r="G4" s="2">
        <v>446</v>
      </c>
      <c r="H4" s="3"/>
    </row>
    <row r="5" spans="1:8" ht="150" customHeight="1" x14ac:dyDescent="0.3">
      <c r="A5" s="2">
        <v>16</v>
      </c>
      <c r="B5" s="2" t="s">
        <v>15</v>
      </c>
      <c r="C5" s="2" t="s">
        <v>9</v>
      </c>
      <c r="D5" s="2" t="s">
        <v>16</v>
      </c>
      <c r="E5" s="2">
        <v>12650</v>
      </c>
      <c r="F5" s="2">
        <v>6</v>
      </c>
      <c r="G5" s="2">
        <v>6</v>
      </c>
      <c r="H5" s="3"/>
    </row>
    <row r="6" spans="1:8" ht="150" customHeight="1" x14ac:dyDescent="0.3">
      <c r="A6" s="2">
        <v>18</v>
      </c>
      <c r="B6" s="2" t="s">
        <v>17</v>
      </c>
      <c r="C6" s="2" t="s">
        <v>9</v>
      </c>
      <c r="D6" s="2" t="s">
        <v>18</v>
      </c>
      <c r="E6" s="2">
        <v>12650</v>
      </c>
      <c r="F6" s="2">
        <v>5</v>
      </c>
      <c r="G6" s="2">
        <v>74</v>
      </c>
      <c r="H6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8"/>
  <sheetViews>
    <sheetView tabSelected="1" workbookViewId="0">
      <pane ySplit="1" topLeftCell="A4" activePane="bottomLeft" state="frozen"/>
      <selection pane="bottomLeft" activeCell="D8" sqref="D8:D11"/>
    </sheetView>
  </sheetViews>
  <sheetFormatPr defaultRowHeight="14.4" x14ac:dyDescent="0.3"/>
  <cols>
    <col min="1" max="1" width="14" customWidth="1"/>
    <col min="2" max="2" width="12" customWidth="1"/>
    <col min="3" max="3" width="6" customWidth="1"/>
    <col min="4" max="4" width="46" customWidth="1"/>
    <col min="5" max="5" width="9" customWidth="1"/>
    <col min="6" max="6" width="13" customWidth="1"/>
    <col min="7" max="7" width="20" customWidth="1"/>
    <col min="8" max="8" width="38.21875" bestFit="1" customWidth="1"/>
  </cols>
  <sheetData>
    <row r="1" spans="1:10" x14ac:dyDescent="0.3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10" hidden="1" x14ac:dyDescent="0.3">
      <c r="A2" s="2">
        <v>7</v>
      </c>
      <c r="B2" s="2" t="s">
        <v>8</v>
      </c>
      <c r="C2" s="2">
        <v>1</v>
      </c>
      <c r="D2" s="4" t="s">
        <v>24</v>
      </c>
      <c r="E2" s="2" t="s">
        <v>25</v>
      </c>
      <c r="F2" s="2"/>
      <c r="G2" s="4" t="s">
        <v>26</v>
      </c>
    </row>
    <row r="3" spans="1:10" hidden="1" x14ac:dyDescent="0.3">
      <c r="A3" s="2">
        <v>7</v>
      </c>
      <c r="B3" s="2" t="s">
        <v>8</v>
      </c>
      <c r="C3" s="2">
        <v>2</v>
      </c>
      <c r="D3" s="4" t="s">
        <v>27</v>
      </c>
      <c r="E3" s="2" t="s">
        <v>25</v>
      </c>
      <c r="F3" s="2">
        <v>18</v>
      </c>
      <c r="G3" s="4" t="s">
        <v>26</v>
      </c>
    </row>
    <row r="4" spans="1:10" x14ac:dyDescent="0.3">
      <c r="A4" s="2">
        <v>7</v>
      </c>
      <c r="B4" s="2" t="s">
        <v>8</v>
      </c>
      <c r="C4" s="2">
        <v>3</v>
      </c>
      <c r="D4" s="4" t="s">
        <v>28</v>
      </c>
      <c r="E4" s="2" t="s">
        <v>25</v>
      </c>
      <c r="F4" s="2">
        <v>8</v>
      </c>
      <c r="G4" s="4" t="s">
        <v>29</v>
      </c>
      <c r="H4" t="s">
        <v>55</v>
      </c>
      <c r="I4">
        <v>1.5</v>
      </c>
      <c r="J4">
        <f>I4*F4</f>
        <v>12</v>
      </c>
    </row>
    <row r="5" spans="1:10" x14ac:dyDescent="0.3">
      <c r="A5" s="2">
        <v>7</v>
      </c>
      <c r="B5" s="2" t="s">
        <v>8</v>
      </c>
      <c r="C5" s="2">
        <v>4</v>
      </c>
      <c r="D5" s="4" t="s">
        <v>30</v>
      </c>
      <c r="E5" s="2" t="s">
        <v>25</v>
      </c>
      <c r="F5" s="2">
        <v>8</v>
      </c>
      <c r="G5" s="4" t="s">
        <v>29</v>
      </c>
      <c r="H5" t="s">
        <v>56</v>
      </c>
      <c r="I5">
        <v>1.5</v>
      </c>
      <c r="J5">
        <f t="shared" ref="J5:J11" si="0">I5*F5</f>
        <v>12</v>
      </c>
    </row>
    <row r="6" spans="1:10" x14ac:dyDescent="0.3">
      <c r="A6" s="2">
        <v>7</v>
      </c>
      <c r="B6" s="2" t="s">
        <v>8</v>
      </c>
      <c r="C6" s="2">
        <v>5</v>
      </c>
      <c r="D6" s="4" t="s">
        <v>31</v>
      </c>
      <c r="E6" s="2" t="s">
        <v>25</v>
      </c>
      <c r="F6" s="2">
        <v>8</v>
      </c>
      <c r="G6" s="4" t="s">
        <v>29</v>
      </c>
      <c r="H6" t="s">
        <v>57</v>
      </c>
      <c r="I6">
        <v>1.5</v>
      </c>
      <c r="J6">
        <f t="shared" si="0"/>
        <v>12</v>
      </c>
    </row>
    <row r="7" spans="1:10" x14ac:dyDescent="0.3">
      <c r="A7" s="2">
        <v>7</v>
      </c>
      <c r="B7" s="2" t="s">
        <v>8</v>
      </c>
      <c r="C7" s="2">
        <v>6</v>
      </c>
      <c r="D7" s="4" t="s">
        <v>32</v>
      </c>
      <c r="E7" s="2" t="s">
        <v>25</v>
      </c>
      <c r="F7" s="2">
        <v>6</v>
      </c>
      <c r="G7" s="4" t="s">
        <v>29</v>
      </c>
      <c r="H7" s="5" t="s">
        <v>58</v>
      </c>
      <c r="I7">
        <v>1.5</v>
      </c>
      <c r="J7">
        <f t="shared" si="0"/>
        <v>9</v>
      </c>
    </row>
    <row r="8" spans="1:10" x14ac:dyDescent="0.3">
      <c r="A8" s="2">
        <v>7</v>
      </c>
      <c r="B8" s="2" t="s">
        <v>8</v>
      </c>
      <c r="C8" s="2">
        <v>7</v>
      </c>
      <c r="D8" s="4" t="s">
        <v>33</v>
      </c>
      <c r="E8" s="2" t="s">
        <v>25</v>
      </c>
      <c r="F8" s="2">
        <v>20</v>
      </c>
      <c r="G8" s="4" t="s">
        <v>29</v>
      </c>
      <c r="I8">
        <v>1</v>
      </c>
      <c r="J8">
        <f t="shared" si="0"/>
        <v>20</v>
      </c>
    </row>
    <row r="9" spans="1:10" x14ac:dyDescent="0.3">
      <c r="A9" s="2">
        <v>7</v>
      </c>
      <c r="B9" s="2" t="s">
        <v>8</v>
      </c>
      <c r="C9" s="2">
        <v>8</v>
      </c>
      <c r="D9" s="4" t="s">
        <v>33</v>
      </c>
      <c r="E9" s="2" t="s">
        <v>25</v>
      </c>
      <c r="F9" s="2">
        <v>10</v>
      </c>
      <c r="G9" s="4" t="s">
        <v>29</v>
      </c>
      <c r="I9">
        <v>1</v>
      </c>
      <c r="J9">
        <f t="shared" si="0"/>
        <v>10</v>
      </c>
    </row>
    <row r="10" spans="1:10" x14ac:dyDescent="0.3">
      <c r="A10" s="2">
        <v>7</v>
      </c>
      <c r="B10" s="2" t="s">
        <v>8</v>
      </c>
      <c r="C10" s="2">
        <v>9</v>
      </c>
      <c r="D10" s="4" t="s">
        <v>34</v>
      </c>
      <c r="E10" s="2" t="s">
        <v>25</v>
      </c>
      <c r="F10" s="2">
        <v>50</v>
      </c>
      <c r="G10" s="4" t="s">
        <v>35</v>
      </c>
      <c r="I10">
        <v>1</v>
      </c>
      <c r="J10">
        <f t="shared" si="0"/>
        <v>50</v>
      </c>
    </row>
    <row r="11" spans="1:10" x14ac:dyDescent="0.3">
      <c r="A11" s="2">
        <v>7</v>
      </c>
      <c r="B11" s="2" t="s">
        <v>8</v>
      </c>
      <c r="C11" s="2">
        <v>10</v>
      </c>
      <c r="D11" s="4" t="s">
        <v>36</v>
      </c>
      <c r="E11" s="2" t="s">
        <v>25</v>
      </c>
      <c r="F11" s="2">
        <v>510</v>
      </c>
      <c r="G11" s="4" t="s">
        <v>35</v>
      </c>
      <c r="I11">
        <v>1</v>
      </c>
      <c r="J11">
        <f t="shared" si="0"/>
        <v>510</v>
      </c>
    </row>
    <row r="12" spans="1:10" ht="28.8" hidden="1" x14ac:dyDescent="0.3">
      <c r="A12" s="2">
        <v>9</v>
      </c>
      <c r="B12" s="2" t="s">
        <v>11</v>
      </c>
      <c r="C12" s="2">
        <v>1</v>
      </c>
      <c r="D12" s="4" t="s">
        <v>37</v>
      </c>
      <c r="E12" s="2" t="s">
        <v>25</v>
      </c>
      <c r="F12" s="2">
        <v>156</v>
      </c>
      <c r="G12" s="4" t="s">
        <v>26</v>
      </c>
    </row>
    <row r="13" spans="1:10" x14ac:dyDescent="0.3">
      <c r="A13" s="2">
        <v>9</v>
      </c>
      <c r="B13" s="2" t="s">
        <v>11</v>
      </c>
      <c r="C13" s="2">
        <v>2</v>
      </c>
      <c r="D13" s="4" t="s">
        <v>38</v>
      </c>
      <c r="E13" s="2" t="s">
        <v>25</v>
      </c>
      <c r="F13" s="2">
        <v>50</v>
      </c>
      <c r="G13" s="4" t="s">
        <v>35</v>
      </c>
      <c r="H13" s="5" t="s">
        <v>59</v>
      </c>
      <c r="I13">
        <v>0.78</v>
      </c>
      <c r="J13">
        <f>I13*F13</f>
        <v>39</v>
      </c>
    </row>
    <row r="14" spans="1:10" ht="28.8" hidden="1" x14ac:dyDescent="0.3">
      <c r="A14" s="2">
        <v>13</v>
      </c>
      <c r="B14" s="2" t="s">
        <v>13</v>
      </c>
      <c r="C14" s="2">
        <v>1</v>
      </c>
      <c r="D14" s="4" t="s">
        <v>39</v>
      </c>
      <c r="E14" s="2" t="s">
        <v>25</v>
      </c>
      <c r="F14" s="2">
        <v>324</v>
      </c>
      <c r="G14" s="4" t="s">
        <v>26</v>
      </c>
    </row>
    <row r="15" spans="1:10" x14ac:dyDescent="0.3">
      <c r="A15" s="2">
        <v>13</v>
      </c>
      <c r="B15" s="2" t="s">
        <v>13</v>
      </c>
      <c r="C15" s="2">
        <v>2</v>
      </c>
      <c r="D15" s="4" t="s">
        <v>40</v>
      </c>
      <c r="E15" s="2" t="s">
        <v>25</v>
      </c>
      <c r="F15" s="2">
        <v>50</v>
      </c>
      <c r="G15" s="4" t="s">
        <v>35</v>
      </c>
      <c r="H15" s="5" t="s">
        <v>59</v>
      </c>
      <c r="I15">
        <v>1.2</v>
      </c>
      <c r="J15">
        <f t="shared" ref="J15:J16" si="1">I15*F15</f>
        <v>60</v>
      </c>
    </row>
    <row r="16" spans="1:10" x14ac:dyDescent="0.3">
      <c r="A16" s="2">
        <v>13</v>
      </c>
      <c r="B16" s="2" t="s">
        <v>13</v>
      </c>
      <c r="C16" s="2">
        <v>3</v>
      </c>
      <c r="D16" s="4" t="s">
        <v>41</v>
      </c>
      <c r="E16" s="2" t="s">
        <v>25</v>
      </c>
      <c r="F16" s="2">
        <v>72</v>
      </c>
      <c r="G16" s="4" t="s">
        <v>35</v>
      </c>
      <c r="H16" s="5" t="s">
        <v>59</v>
      </c>
      <c r="I16">
        <v>0.78</v>
      </c>
      <c r="J16">
        <f t="shared" si="1"/>
        <v>56.160000000000004</v>
      </c>
    </row>
    <row r="17" spans="1:10" hidden="1" x14ac:dyDescent="0.3">
      <c r="A17" s="2">
        <v>16</v>
      </c>
      <c r="B17" s="2" t="s">
        <v>15</v>
      </c>
      <c r="C17" s="2">
        <v>1</v>
      </c>
      <c r="D17" s="4" t="s">
        <v>42</v>
      </c>
      <c r="E17" s="2" t="s">
        <v>25</v>
      </c>
      <c r="F17" s="2">
        <v>1</v>
      </c>
      <c r="G17" s="4" t="s">
        <v>43</v>
      </c>
    </row>
    <row r="18" spans="1:10" hidden="1" x14ac:dyDescent="0.3">
      <c r="A18" s="2">
        <v>16</v>
      </c>
      <c r="B18" s="2" t="s">
        <v>15</v>
      </c>
      <c r="C18" s="2">
        <v>2</v>
      </c>
      <c r="D18" s="4" t="s">
        <v>44</v>
      </c>
      <c r="E18" s="2" t="s">
        <v>25</v>
      </c>
      <c r="F18" s="2">
        <v>1</v>
      </c>
      <c r="G18" s="4" t="s">
        <v>43</v>
      </c>
    </row>
    <row r="19" spans="1:10" hidden="1" x14ac:dyDescent="0.3">
      <c r="A19" s="2">
        <v>16</v>
      </c>
      <c r="B19" s="2" t="s">
        <v>15</v>
      </c>
      <c r="C19" s="2">
        <v>3</v>
      </c>
      <c r="D19" s="4" t="s">
        <v>45</v>
      </c>
      <c r="E19" s="2" t="s">
        <v>25</v>
      </c>
      <c r="F19" s="2">
        <v>1</v>
      </c>
      <c r="G19" s="4" t="s">
        <v>43</v>
      </c>
    </row>
    <row r="20" spans="1:10" hidden="1" x14ac:dyDescent="0.3">
      <c r="A20" s="2">
        <v>16</v>
      </c>
      <c r="B20" s="2" t="s">
        <v>15</v>
      </c>
      <c r="C20" s="2">
        <v>4</v>
      </c>
      <c r="D20" s="4" t="s">
        <v>46</v>
      </c>
      <c r="E20" s="2" t="s">
        <v>25</v>
      </c>
      <c r="F20" s="2">
        <v>1</v>
      </c>
      <c r="G20" s="4" t="s">
        <v>47</v>
      </c>
    </row>
    <row r="21" spans="1:10" hidden="1" x14ac:dyDescent="0.3">
      <c r="A21" s="2">
        <v>16</v>
      </c>
      <c r="B21" s="2" t="s">
        <v>15</v>
      </c>
      <c r="C21" s="2">
        <v>5</v>
      </c>
      <c r="D21" s="4" t="s">
        <v>48</v>
      </c>
      <c r="E21" s="2" t="s">
        <v>25</v>
      </c>
      <c r="F21" s="2">
        <v>1</v>
      </c>
      <c r="G21" s="4" t="s">
        <v>47</v>
      </c>
    </row>
    <row r="22" spans="1:10" hidden="1" x14ac:dyDescent="0.3">
      <c r="A22" s="2">
        <v>16</v>
      </c>
      <c r="B22" s="2" t="s">
        <v>15</v>
      </c>
      <c r="C22" s="2">
        <v>6</v>
      </c>
      <c r="D22" s="4" t="s">
        <v>49</v>
      </c>
      <c r="E22" s="2" t="s">
        <v>25</v>
      </c>
      <c r="F22" s="2">
        <v>1</v>
      </c>
      <c r="G22" s="4" t="s">
        <v>47</v>
      </c>
    </row>
    <row r="23" spans="1:10" x14ac:dyDescent="0.3">
      <c r="A23" s="2">
        <v>18</v>
      </c>
      <c r="B23" s="2" t="s">
        <v>17</v>
      </c>
      <c r="C23" s="2">
        <v>1</v>
      </c>
      <c r="D23" s="4" t="s">
        <v>50</v>
      </c>
      <c r="E23" s="2" t="s">
        <v>25</v>
      </c>
      <c r="F23" s="2">
        <v>9</v>
      </c>
      <c r="G23" s="4" t="s">
        <v>29</v>
      </c>
      <c r="H23" s="5" t="s">
        <v>60</v>
      </c>
      <c r="I23">
        <v>4</v>
      </c>
      <c r="J23">
        <f t="shared" ref="J23:J26" si="2">I23*F23</f>
        <v>36</v>
      </c>
    </row>
    <row r="24" spans="1:10" x14ac:dyDescent="0.3">
      <c r="A24" s="2">
        <v>18</v>
      </c>
      <c r="B24" s="2" t="s">
        <v>17</v>
      </c>
      <c r="C24" s="2">
        <v>2</v>
      </c>
      <c r="D24" s="4" t="s">
        <v>51</v>
      </c>
      <c r="E24" s="2" t="s">
        <v>25</v>
      </c>
      <c r="F24" s="2">
        <v>4</v>
      </c>
      <c r="G24" s="4" t="s">
        <v>29</v>
      </c>
      <c r="H24" s="5" t="s">
        <v>60</v>
      </c>
      <c r="I24">
        <v>3</v>
      </c>
      <c r="J24">
        <f t="shared" si="2"/>
        <v>12</v>
      </c>
    </row>
    <row r="25" spans="1:10" x14ac:dyDescent="0.3">
      <c r="A25" s="2">
        <v>18</v>
      </c>
      <c r="B25" s="2" t="s">
        <v>17</v>
      </c>
      <c r="C25" s="2">
        <v>3</v>
      </c>
      <c r="D25" s="4" t="s">
        <v>52</v>
      </c>
      <c r="E25" s="2" t="s">
        <v>25</v>
      </c>
      <c r="F25" s="2">
        <v>1</v>
      </c>
      <c r="G25" s="4" t="s">
        <v>29</v>
      </c>
      <c r="H25" s="5" t="s">
        <v>60</v>
      </c>
      <c r="I25">
        <v>1</v>
      </c>
      <c r="J25">
        <f t="shared" si="2"/>
        <v>1</v>
      </c>
    </row>
    <row r="26" spans="1:10" x14ac:dyDescent="0.3">
      <c r="A26" s="2">
        <v>18</v>
      </c>
      <c r="B26" s="2" t="s">
        <v>17</v>
      </c>
      <c r="C26" s="2">
        <v>4</v>
      </c>
      <c r="D26" s="4" t="s">
        <v>53</v>
      </c>
      <c r="E26" s="2" t="s">
        <v>25</v>
      </c>
      <c r="F26" s="2">
        <v>20</v>
      </c>
      <c r="G26" s="4" t="s">
        <v>35</v>
      </c>
      <c r="H26" s="5" t="s">
        <v>61</v>
      </c>
      <c r="I26">
        <v>0.78</v>
      </c>
      <c r="J26">
        <f t="shared" si="2"/>
        <v>15.600000000000001</v>
      </c>
    </row>
    <row r="27" spans="1:10" hidden="1" x14ac:dyDescent="0.3">
      <c r="A27" s="2">
        <v>18</v>
      </c>
      <c r="B27" s="2" t="s">
        <v>17</v>
      </c>
      <c r="C27" s="2">
        <v>5</v>
      </c>
      <c r="D27" s="4" t="s">
        <v>54</v>
      </c>
      <c r="E27" s="2" t="s">
        <v>25</v>
      </c>
      <c r="F27" s="2">
        <v>40</v>
      </c>
      <c r="G27" s="4" t="s">
        <v>43</v>
      </c>
    </row>
    <row r="28" spans="1:10" x14ac:dyDescent="0.3">
      <c r="J28">
        <f>SUBTOTAL(9,J4:J26)</f>
        <v>854.76</v>
      </c>
    </row>
  </sheetData>
  <autoFilter ref="A1:G27" xr:uid="{00000000-0001-0000-0100-000000000000}">
    <filterColumn colId="6">
      <filters>
        <filter val="Резка"/>
        <filter val="Резка/покраска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Nakladnoylar</vt:lpstr>
      <vt:lpstr>Tovarlar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Asilbek Ibrohimov</cp:lastModifiedBy>
  <dcterms:created xsi:type="dcterms:W3CDTF">2026-09-21T10:59:16Z</dcterms:created>
  <dcterms:modified xsi:type="dcterms:W3CDTF">2026-09-21T11:35:49Z</dcterms:modified>
</cp:coreProperties>
</file>